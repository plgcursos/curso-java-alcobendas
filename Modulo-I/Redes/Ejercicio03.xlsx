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C:\Users\Tardes\Desktop\plg\"/>
    </mc:Choice>
  </mc:AlternateContent>
  <xr:revisionPtr revIDLastSave="0" documentId="13_ncr:1_{5AEFEC8D-34B7-466F-A1EE-23457CD2544E}" xr6:coauthVersionLast="47" xr6:coauthVersionMax="47" xr10:uidLastSave="{00000000-0000-0000-0000-000000000000}"/>
  <bookViews>
    <workbookView xWindow="-90" yWindow="-90" windowWidth="19380" windowHeight="10260" xr2:uid="{17B85EFD-C1C5-44CF-B66D-01DD2719695B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" i="1" l="1"/>
  <c r="J9" i="1"/>
  <c r="J5" i="1"/>
  <c r="J6" i="1"/>
  <c r="J7" i="1"/>
  <c r="J8" i="1"/>
  <c r="J4" i="1"/>
  <c r="E45" i="1"/>
  <c r="B44" i="1"/>
  <c r="B45" i="1" s="1"/>
  <c r="E43" i="1"/>
  <c r="D43" i="1"/>
  <c r="C43" i="1"/>
  <c r="B43" i="1"/>
  <c r="E41" i="1"/>
  <c r="D41" i="1"/>
  <c r="D44" i="1" s="1"/>
  <c r="D45" i="1" s="1"/>
  <c r="C41" i="1"/>
  <c r="C44" i="1" s="1"/>
  <c r="C45" i="1" s="1"/>
  <c r="B41" i="1"/>
  <c r="D37" i="1"/>
  <c r="E38" i="1"/>
  <c r="D38" i="1"/>
  <c r="E36" i="1"/>
  <c r="D36" i="1"/>
  <c r="C36" i="1"/>
  <c r="B36" i="1"/>
  <c r="E34" i="1"/>
  <c r="D34" i="1"/>
  <c r="C34" i="1"/>
  <c r="C37" i="1" s="1"/>
  <c r="C38" i="1" s="1"/>
  <c r="B34" i="1"/>
  <c r="B37" i="1" s="1"/>
  <c r="B38" i="1" s="1"/>
  <c r="E31" i="1"/>
  <c r="D31" i="1"/>
  <c r="E29" i="1"/>
  <c r="D29" i="1"/>
  <c r="C29" i="1"/>
  <c r="B29" i="1"/>
  <c r="E27" i="1"/>
  <c r="D27" i="1"/>
  <c r="C27" i="1"/>
  <c r="C30" i="1" s="1"/>
  <c r="C31" i="1" s="1"/>
  <c r="B27" i="1"/>
  <c r="B30" i="1" s="1"/>
  <c r="B31" i="1" s="1"/>
  <c r="E24" i="1"/>
  <c r="D24" i="1"/>
  <c r="C24" i="1"/>
  <c r="B24" i="1"/>
  <c r="C23" i="1"/>
  <c r="B23" i="1"/>
  <c r="E20" i="1"/>
  <c r="D20" i="1"/>
  <c r="E22" i="1"/>
  <c r="D22" i="1"/>
  <c r="C22" i="1"/>
  <c r="B22" i="1"/>
  <c r="D17" i="1"/>
  <c r="E17" i="1"/>
  <c r="B17" i="1"/>
  <c r="B19" i="1" s="1"/>
  <c r="B20" i="1" s="1"/>
  <c r="B16" i="1"/>
  <c r="C15" i="1"/>
  <c r="D15" i="1"/>
  <c r="E15" i="1"/>
  <c r="B15" i="1"/>
  <c r="C13" i="1"/>
  <c r="C16" i="1" s="1"/>
  <c r="C17" i="1" s="1"/>
  <c r="C19" i="1" s="1"/>
  <c r="C20" i="1" s="1"/>
  <c r="D13" i="1"/>
  <c r="E13" i="1"/>
  <c r="B13" i="1"/>
  <c r="F1" i="1"/>
  <c r="G5" i="1"/>
  <c r="H5" i="1" s="1"/>
  <c r="G6" i="1"/>
  <c r="H6" i="1" s="1"/>
  <c r="G7" i="1"/>
  <c r="H7" i="1" s="1"/>
  <c r="G8" i="1"/>
  <c r="H8" i="1" s="1"/>
  <c r="G4" i="1"/>
  <c r="H4" i="1" s="1"/>
</calcChain>
</file>

<file path=xl/sharedStrings.xml><?xml version="1.0" encoding="utf-8"?>
<sst xmlns="http://schemas.openxmlformats.org/spreadsheetml/2006/main" count="50" uniqueCount="42">
  <si>
    <t>12.34.0.0/16</t>
  </si>
  <si>
    <t>RANGO DISPONIBLE: 12.34.0.0 - 12.34.255.255</t>
  </si>
  <si>
    <t xml:space="preserve">CANT. DIR: </t>
  </si>
  <si>
    <t>SOBRANTES:</t>
  </si>
  <si>
    <t>Departamento</t>
  </si>
  <si>
    <t>Dir.Subred</t>
  </si>
  <si>
    <t>Máscara</t>
  </si>
  <si>
    <t>Difusión</t>
  </si>
  <si>
    <t xml:space="preserve">Rangos IPs para hosts </t>
  </si>
  <si>
    <t>BITS/HOSTS</t>
  </si>
  <si>
    <t>BITS/RED</t>
  </si>
  <si>
    <t>USADAS</t>
  </si>
  <si>
    <t>Dirección</t>
  </si>
  <si>
    <t>12.34.24.0/22</t>
  </si>
  <si>
    <t>255.255.252.0</t>
  </si>
  <si>
    <t>12.34.27.255</t>
  </si>
  <si>
    <t>12.34.24.1 - 12.34.27.254</t>
  </si>
  <si>
    <t>Producción</t>
  </si>
  <si>
    <t>12.34.0.0/20</t>
  </si>
  <si>
    <t>255.255.240.0</t>
  </si>
  <si>
    <t>12.34.15.255</t>
  </si>
  <si>
    <t>12.34.0.1 - 12.34.15.254</t>
  </si>
  <si>
    <t>Administración</t>
  </si>
  <si>
    <t>12.34.16.0/21</t>
  </si>
  <si>
    <t>255.255.248.0</t>
  </si>
  <si>
    <t>12.34.23.255</t>
  </si>
  <si>
    <t>12.34.16.1 - 12.34.23.254</t>
  </si>
  <si>
    <t>Invitados 1</t>
  </si>
  <si>
    <t>12.34.28.0/26</t>
  </si>
  <si>
    <t>12.34.28.63</t>
  </si>
  <si>
    <t>12.34.28.1 - 12.34.28.62</t>
  </si>
  <si>
    <t>Invitados 2</t>
  </si>
  <si>
    <t>12.34.28.64/26</t>
  </si>
  <si>
    <t>12.34.28.127</t>
  </si>
  <si>
    <t>12.34.28.65 - 12.34.28.126</t>
  </si>
  <si>
    <t>PRODUCCION</t>
  </si>
  <si>
    <t xml:space="preserve">       MASC.</t>
  </si>
  <si>
    <t xml:space="preserve">        DIF/BROAD.</t>
  </si>
  <si>
    <t>ADMINISTR.</t>
  </si>
  <si>
    <t>DIRECCIÓN</t>
  </si>
  <si>
    <t>INVITADOS 1</t>
  </si>
  <si>
    <t>INVITADOS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</si>
</sst>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1" fillId="2" borderId="10" xfId="0" applyFont="1" applyFill="1" applyBorder="1"/>
    <xf numFmtId="0" fontId="2" fillId="0" borderId="2" xfId="0" applyFont="1" applyBorder="1"/>
    <xf numFmtId="0" fontId="2" fillId="0" borderId="5" xfId="0" applyFont="1" applyBorder="1"/>
    <xf numFmtId="0" fontId="2" fillId="0" borderId="7" xfId="0" applyFont="1" applyBorder="1"/>
    <xf numFmtId="0" fontId="1" fillId="2" borderId="11" xfId="0" applyFont="1" applyFill="1" applyBorder="1"/>
    <xf numFmtId="0" fontId="1" fillId="2" borderId="12" xfId="0" applyFont="1" applyFill="1" applyBorder="1"/>
    <xf numFmtId="0" fontId="2" fillId="0" borderId="0" xfId="0" applyFont="1"/>
    <xf numFmtId="0" fontId="0" fillId="0" borderId="0" xfId="0" applyFill="1" applyBorder="1"/>
    <xf numFmtId="0" fontId="2" fillId="0" borderId="0" xfId="0" applyFont="1" applyAlignment="1">
      <alignment horizontal="right"/>
    </xf>
    <xf numFmtId="0" fontId="1" fillId="2" borderId="0" xfId="0" applyFont="1" applyFill="1" applyBorder="1"/>
    <xf numFmtId="3" fontId="0" fillId="0" borderId="1" xfId="0" applyNumberFormat="1" applyBorder="1" applyAlignment="1">
      <alignment horizontal="left"/>
    </xf>
    <xf numFmtId="3" fontId="0" fillId="0" borderId="8" xfId="0" applyNumberFormat="1" applyBorder="1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2BDE6-0659-4613-96CE-0E1BE070E931}">
  <dimension ref="A1:J45"/>
  <sheetViews>
    <sheetView tabSelected="1" workbookViewId="0">
      <selection activeCell="F10" sqref="F10"/>
    </sheetView>
  </sheetViews>
  <sheetFormatPr defaultColWidth="11.42578125" defaultRowHeight="14.85"/>
  <cols>
    <col min="1" max="2" width="14" customWidth="1"/>
    <col min="3" max="3" width="16.28515625" customWidth="1"/>
    <col min="4" max="4" width="14" customWidth="1"/>
    <col min="5" max="5" width="27" customWidth="1"/>
    <col min="9" max="9" width="2.85546875" customWidth="1"/>
  </cols>
  <sheetData>
    <row r="1" spans="1:10">
      <c r="A1" s="14" t="s">
        <v>0</v>
      </c>
      <c r="B1" s="14" t="s">
        <v>1</v>
      </c>
      <c r="E1" s="16" t="s">
        <v>2</v>
      </c>
      <c r="F1" s="14">
        <f>POWER(256,2)</f>
        <v>65536</v>
      </c>
      <c r="H1" s="20"/>
      <c r="I1" s="16" t="s">
        <v>3</v>
      </c>
      <c r="J1" s="14">
        <f>F1-J9</f>
        <v>58240</v>
      </c>
    </row>
    <row r="2" spans="1:10" ht="15.6" thickBot="1"/>
    <row r="3" spans="1:10" ht="15.6" thickBot="1">
      <c r="A3" s="8" t="s">
        <v>4</v>
      </c>
      <c r="B3" s="12" t="s">
        <v>5</v>
      </c>
      <c r="C3" s="12" t="s">
        <v>6</v>
      </c>
      <c r="D3" s="12" t="s">
        <v>7</v>
      </c>
      <c r="E3" s="13" t="s">
        <v>8</v>
      </c>
      <c r="F3" s="2"/>
      <c r="G3" s="17" t="s">
        <v>9</v>
      </c>
      <c r="H3" s="17" t="s">
        <v>10</v>
      </c>
      <c r="J3" s="17" t="s">
        <v>11</v>
      </c>
    </row>
    <row r="4" spans="1:10">
      <c r="A4" s="9" t="s">
        <v>12</v>
      </c>
      <c r="B4" s="3" t="s">
        <v>13</v>
      </c>
      <c r="C4" s="3" t="s">
        <v>14</v>
      </c>
      <c r="D4" s="3" t="s">
        <v>15</v>
      </c>
      <c r="E4" s="4" t="s">
        <v>16</v>
      </c>
      <c r="F4" s="2">
        <v>900</v>
      </c>
      <c r="G4">
        <f>ROUNDUP( LOG(F4,2),0)</f>
        <v>10</v>
      </c>
      <c r="H4">
        <f>32-G4</f>
        <v>22</v>
      </c>
      <c r="J4">
        <f>POWER(2,G4)</f>
        <v>1024</v>
      </c>
    </row>
    <row r="5" spans="1:10">
      <c r="A5" s="10" t="s">
        <v>17</v>
      </c>
      <c r="B5" s="1" t="s">
        <v>18</v>
      </c>
      <c r="C5" s="1" t="s">
        <v>19</v>
      </c>
      <c r="D5" s="1" t="s">
        <v>20</v>
      </c>
      <c r="E5" s="5" t="s">
        <v>21</v>
      </c>
      <c r="F5" s="2">
        <v>3500</v>
      </c>
      <c r="G5">
        <f t="shared" ref="G5:G8" si="0">ROUNDUP( LOG(F5,2),0)</f>
        <v>12</v>
      </c>
      <c r="H5">
        <f t="shared" ref="H5:H8" si="1">32-G5</f>
        <v>20</v>
      </c>
      <c r="J5">
        <f t="shared" ref="J5:J8" si="2">POWER(2,G5)</f>
        <v>4096</v>
      </c>
    </row>
    <row r="6" spans="1:10">
      <c r="A6" s="10" t="s">
        <v>22</v>
      </c>
      <c r="B6" s="1" t="s">
        <v>23</v>
      </c>
      <c r="C6" s="1" t="s">
        <v>24</v>
      </c>
      <c r="D6" s="1" t="s">
        <v>25</v>
      </c>
      <c r="E6" s="5" t="s">
        <v>26</v>
      </c>
      <c r="F6" s="2">
        <v>1200</v>
      </c>
      <c r="G6">
        <f t="shared" si="0"/>
        <v>11</v>
      </c>
      <c r="H6">
        <f t="shared" si="1"/>
        <v>21</v>
      </c>
      <c r="J6">
        <f t="shared" si="2"/>
        <v>2048</v>
      </c>
    </row>
    <row r="7" spans="1:10">
      <c r="A7" s="10" t="s">
        <v>27</v>
      </c>
      <c r="B7" s="1" t="s">
        <v>28</v>
      </c>
      <c r="C7" s="18">
        <v>255255255192</v>
      </c>
      <c r="D7" s="1" t="s">
        <v>29</v>
      </c>
      <c r="E7" s="5" t="s">
        <v>30</v>
      </c>
      <c r="F7" s="15">
        <v>64</v>
      </c>
      <c r="G7">
        <f t="shared" si="0"/>
        <v>6</v>
      </c>
      <c r="H7">
        <f t="shared" si="1"/>
        <v>26</v>
      </c>
      <c r="J7">
        <f t="shared" si="2"/>
        <v>64</v>
      </c>
    </row>
    <row r="8" spans="1:10" ht="15.6" thickBot="1">
      <c r="A8" s="11" t="s">
        <v>31</v>
      </c>
      <c r="B8" s="6" t="s">
        <v>32</v>
      </c>
      <c r="C8" s="19">
        <v>255255255192</v>
      </c>
      <c r="D8" s="6" t="s">
        <v>33</v>
      </c>
      <c r="E8" s="7" t="s">
        <v>34</v>
      </c>
      <c r="F8" s="15">
        <v>64</v>
      </c>
      <c r="G8">
        <f t="shared" si="0"/>
        <v>6</v>
      </c>
      <c r="H8">
        <f t="shared" si="1"/>
        <v>26</v>
      </c>
      <c r="J8">
        <f t="shared" si="2"/>
        <v>64</v>
      </c>
    </row>
    <row r="9" spans="1:10">
      <c r="J9">
        <f>SUM(J4:J8)</f>
        <v>7296</v>
      </c>
    </row>
    <row r="12" spans="1:10">
      <c r="A12" s="14" t="s">
        <v>35</v>
      </c>
      <c r="B12">
        <v>12</v>
      </c>
      <c r="C12">
        <v>34</v>
      </c>
      <c r="D12">
        <v>0</v>
      </c>
      <c r="E12">
        <v>0</v>
      </c>
    </row>
    <row r="13" spans="1:10">
      <c r="B13" t="str">
        <f>DEC2BIN(B12,8)</f>
        <v>00001100</v>
      </c>
      <c r="C13" t="str">
        <f t="shared" ref="C13:E13" si="3">DEC2BIN(C12,8)</f>
        <v>00100010</v>
      </c>
      <c r="D13" t="str">
        <f t="shared" si="3"/>
        <v>00000000</v>
      </c>
      <c r="E13" t="str">
        <f t="shared" si="3"/>
        <v>00000000</v>
      </c>
    </row>
    <row r="14" spans="1:10">
      <c r="A14" t="s">
        <v>36</v>
      </c>
      <c r="B14">
        <v>11111111</v>
      </c>
      <c r="C14">
        <v>11111111</v>
      </c>
      <c r="D14">
        <v>11110000</v>
      </c>
      <c r="E14">
        <v>0</v>
      </c>
    </row>
    <row r="15" spans="1:10">
      <c r="B15">
        <f>BIN2DEC(B14)</f>
        <v>255</v>
      </c>
      <c r="C15">
        <f t="shared" ref="C15:E15" si="4">BIN2DEC(C14)</f>
        <v>255</v>
      </c>
      <c r="D15">
        <f t="shared" si="4"/>
        <v>240</v>
      </c>
      <c r="E15">
        <f t="shared" si="4"/>
        <v>0</v>
      </c>
    </row>
    <row r="16" spans="1:10">
      <c r="A16" t="s">
        <v>37</v>
      </c>
      <c r="B16" t="str">
        <f>B13</f>
        <v>00001100</v>
      </c>
      <c r="C16" t="str">
        <f>C13</f>
        <v>00100010</v>
      </c>
      <c r="D16">
        <v>1111</v>
      </c>
      <c r="E16">
        <v>11111111</v>
      </c>
    </row>
    <row r="17" spans="1:5">
      <c r="B17">
        <f>BIN2DEC(B16)</f>
        <v>12</v>
      </c>
      <c r="C17">
        <f t="shared" ref="C17:E17" si="5">BIN2DEC(C16)</f>
        <v>34</v>
      </c>
      <c r="D17">
        <f t="shared" si="5"/>
        <v>15</v>
      </c>
      <c r="E17">
        <f t="shared" si="5"/>
        <v>255</v>
      </c>
    </row>
    <row r="19" spans="1:5">
      <c r="A19" s="14" t="s">
        <v>38</v>
      </c>
      <c r="B19">
        <f>B17</f>
        <v>12</v>
      </c>
      <c r="C19">
        <f>C17</f>
        <v>34</v>
      </c>
      <c r="D19">
        <v>16</v>
      </c>
      <c r="E19">
        <v>0</v>
      </c>
    </row>
    <row r="20" spans="1:5">
      <c r="B20" t="str">
        <f>DEC2BIN(B19,8)</f>
        <v>00001100</v>
      </c>
      <c r="C20" t="str">
        <f t="shared" ref="C20" si="6">DEC2BIN(C19,8)</f>
        <v>00100010</v>
      </c>
      <c r="D20" t="str">
        <f t="shared" ref="D20" si="7">DEC2BIN(D19,8)</f>
        <v>00010000</v>
      </c>
      <c r="E20" t="str">
        <f t="shared" ref="E20" si="8">DEC2BIN(E19,8)</f>
        <v>00000000</v>
      </c>
    </row>
    <row r="21" spans="1:5">
      <c r="A21" t="s">
        <v>36</v>
      </c>
      <c r="B21">
        <v>11111111</v>
      </c>
      <c r="C21">
        <v>11111111</v>
      </c>
      <c r="D21">
        <v>11111000</v>
      </c>
      <c r="E21">
        <v>0</v>
      </c>
    </row>
    <row r="22" spans="1:5">
      <c r="B22">
        <f>BIN2DEC(B21)</f>
        <v>255</v>
      </c>
      <c r="C22">
        <f t="shared" ref="C22" si="9">BIN2DEC(C21)</f>
        <v>255</v>
      </c>
      <c r="D22">
        <f t="shared" ref="D22" si="10">BIN2DEC(D21)</f>
        <v>248</v>
      </c>
      <c r="E22">
        <f t="shared" ref="E22" si="11">BIN2DEC(E21)</f>
        <v>0</v>
      </c>
    </row>
    <row r="23" spans="1:5">
      <c r="A23" t="s">
        <v>37</v>
      </c>
      <c r="B23" t="str">
        <f>B20</f>
        <v>00001100</v>
      </c>
      <c r="C23" t="str">
        <f>C20</f>
        <v>00100010</v>
      </c>
      <c r="D23">
        <v>10111</v>
      </c>
      <c r="E23">
        <v>11111111</v>
      </c>
    </row>
    <row r="24" spans="1:5">
      <c r="B24">
        <f>BIN2DEC(B23)</f>
        <v>12</v>
      </c>
      <c r="C24">
        <f t="shared" ref="C24" si="12">BIN2DEC(C23)</f>
        <v>34</v>
      </c>
      <c r="D24">
        <f t="shared" ref="D24" si="13">BIN2DEC(D23)</f>
        <v>23</v>
      </c>
      <c r="E24">
        <f t="shared" ref="E24" si="14">BIN2DEC(E23)</f>
        <v>255</v>
      </c>
    </row>
    <row r="26" spans="1:5">
      <c r="A26" s="14" t="s">
        <v>39</v>
      </c>
      <c r="B26">
        <v>12</v>
      </c>
      <c r="C26">
        <v>34</v>
      </c>
      <c r="D26">
        <v>24</v>
      </c>
      <c r="E26">
        <v>0</v>
      </c>
    </row>
    <row r="27" spans="1:5">
      <c r="B27" t="str">
        <f>DEC2BIN(B26,8)</f>
        <v>00001100</v>
      </c>
      <c r="C27" t="str">
        <f t="shared" ref="C27" si="15">DEC2BIN(C26,8)</f>
        <v>00100010</v>
      </c>
      <c r="D27" t="str">
        <f t="shared" ref="D27" si="16">DEC2BIN(D26,8)</f>
        <v>00011000</v>
      </c>
      <c r="E27" t="str">
        <f t="shared" ref="E27" si="17">DEC2BIN(E26,8)</f>
        <v>00000000</v>
      </c>
    </row>
    <row r="28" spans="1:5">
      <c r="A28" t="s">
        <v>36</v>
      </c>
      <c r="B28">
        <v>11111111</v>
      </c>
      <c r="C28">
        <v>11111111</v>
      </c>
      <c r="D28">
        <v>11111100</v>
      </c>
      <c r="E28">
        <v>0</v>
      </c>
    </row>
    <row r="29" spans="1:5">
      <c r="B29">
        <f>BIN2DEC(B28)</f>
        <v>255</v>
      </c>
      <c r="C29">
        <f t="shared" ref="C29" si="18">BIN2DEC(C28)</f>
        <v>255</v>
      </c>
      <c r="D29">
        <f t="shared" ref="D29" si="19">BIN2DEC(D28)</f>
        <v>252</v>
      </c>
      <c r="E29">
        <f t="shared" ref="E29" si="20">BIN2DEC(E28)</f>
        <v>0</v>
      </c>
    </row>
    <row r="30" spans="1:5">
      <c r="A30" t="s">
        <v>37</v>
      </c>
      <c r="B30" t="str">
        <f>B27</f>
        <v>00001100</v>
      </c>
      <c r="C30" t="str">
        <f>C27</f>
        <v>00100010</v>
      </c>
      <c r="D30">
        <v>11011</v>
      </c>
      <c r="E30">
        <v>11111111</v>
      </c>
    </row>
    <row r="31" spans="1:5">
      <c r="B31">
        <f>BIN2DEC(B30)</f>
        <v>12</v>
      </c>
      <c r="C31">
        <f t="shared" ref="C31" si="21">BIN2DEC(C30)</f>
        <v>34</v>
      </c>
      <c r="D31">
        <f t="shared" ref="D31" si="22">BIN2DEC(D30)</f>
        <v>27</v>
      </c>
      <c r="E31">
        <f t="shared" ref="E31" si="23">BIN2DEC(E30)</f>
        <v>255</v>
      </c>
    </row>
    <row r="33" spans="1:5">
      <c r="A33" s="14" t="s">
        <v>40</v>
      </c>
      <c r="B33">
        <v>12</v>
      </c>
      <c r="C33">
        <v>34</v>
      </c>
      <c r="D33">
        <v>28</v>
      </c>
      <c r="E33">
        <v>0</v>
      </c>
    </row>
    <row r="34" spans="1:5">
      <c r="B34" t="str">
        <f>DEC2BIN(B33,8)</f>
        <v>00001100</v>
      </c>
      <c r="C34" t="str">
        <f t="shared" ref="C34" si="24">DEC2BIN(C33,8)</f>
        <v>00100010</v>
      </c>
      <c r="D34" t="str">
        <f t="shared" ref="D34" si="25">DEC2BIN(D33,8)</f>
        <v>00011100</v>
      </c>
      <c r="E34" t="str">
        <f t="shared" ref="E34" si="26">DEC2BIN(E33,8)</f>
        <v>00000000</v>
      </c>
    </row>
    <row r="35" spans="1:5">
      <c r="A35" t="s">
        <v>36</v>
      </c>
      <c r="B35">
        <v>11111111</v>
      </c>
      <c r="C35">
        <v>11111111</v>
      </c>
      <c r="D35">
        <v>11111111</v>
      </c>
      <c r="E35">
        <v>11000000</v>
      </c>
    </row>
    <row r="36" spans="1:5">
      <c r="B36">
        <f>BIN2DEC(B35)</f>
        <v>255</v>
      </c>
      <c r="C36">
        <f t="shared" ref="C36" si="27">BIN2DEC(C35)</f>
        <v>255</v>
      </c>
      <c r="D36">
        <f t="shared" ref="D36" si="28">BIN2DEC(D35)</f>
        <v>255</v>
      </c>
      <c r="E36">
        <f t="shared" ref="E36" si="29">BIN2DEC(E35)</f>
        <v>192</v>
      </c>
    </row>
    <row r="37" spans="1:5">
      <c r="A37" t="s">
        <v>37</v>
      </c>
      <c r="B37" t="str">
        <f>B34</f>
        <v>00001100</v>
      </c>
      <c r="C37" t="str">
        <f>C34</f>
        <v>00100010</v>
      </c>
      <c r="D37" t="str">
        <f>D34</f>
        <v>00011100</v>
      </c>
      <c r="E37">
        <v>111111</v>
      </c>
    </row>
    <row r="38" spans="1:5">
      <c r="B38">
        <f>BIN2DEC(B37)</f>
        <v>12</v>
      </c>
      <c r="C38">
        <f t="shared" ref="C38" si="30">BIN2DEC(C37)</f>
        <v>34</v>
      </c>
      <c r="D38">
        <f t="shared" ref="D38" si="31">BIN2DEC(D37)</f>
        <v>28</v>
      </c>
      <c r="E38">
        <f t="shared" ref="E38" si="32">BIN2DEC(E37)</f>
        <v>63</v>
      </c>
    </row>
    <row r="40" spans="1:5">
      <c r="A40" s="14" t="s">
        <v>41</v>
      </c>
      <c r="B40">
        <v>12</v>
      </c>
      <c r="C40">
        <v>34</v>
      </c>
      <c r="D40">
        <v>28</v>
      </c>
      <c r="E40">
        <v>64</v>
      </c>
    </row>
    <row r="41" spans="1:5">
      <c r="B41" t="str">
        <f>DEC2BIN(B40,8)</f>
        <v>00001100</v>
      </c>
      <c r="C41" t="str">
        <f t="shared" ref="C41" si="33">DEC2BIN(C40,8)</f>
        <v>00100010</v>
      </c>
      <c r="D41" t="str">
        <f t="shared" ref="D41" si="34">DEC2BIN(D40,8)</f>
        <v>00011100</v>
      </c>
      <c r="E41" t="str">
        <f t="shared" ref="E41" si="35">DEC2BIN(E40,8)</f>
        <v>01000000</v>
      </c>
    </row>
    <row r="42" spans="1:5">
      <c r="A42" t="s">
        <v>36</v>
      </c>
      <c r="B42">
        <v>11111111</v>
      </c>
      <c r="C42">
        <v>11111111</v>
      </c>
      <c r="D42">
        <v>11111111</v>
      </c>
      <c r="E42">
        <v>11000000</v>
      </c>
    </row>
    <row r="43" spans="1:5">
      <c r="B43">
        <f>BIN2DEC(B42)</f>
        <v>255</v>
      </c>
      <c r="C43">
        <f t="shared" ref="C43" si="36">BIN2DEC(C42)</f>
        <v>255</v>
      </c>
      <c r="D43">
        <f t="shared" ref="D43" si="37">BIN2DEC(D42)</f>
        <v>255</v>
      </c>
      <c r="E43">
        <f t="shared" ref="E43" si="38">BIN2DEC(E42)</f>
        <v>192</v>
      </c>
    </row>
    <row r="44" spans="1:5">
      <c r="A44" t="s">
        <v>37</v>
      </c>
      <c r="B44" t="str">
        <f>B41</f>
        <v>00001100</v>
      </c>
      <c r="C44" t="str">
        <f>C41</f>
        <v>00100010</v>
      </c>
      <c r="D44" t="str">
        <f>D41</f>
        <v>00011100</v>
      </c>
      <c r="E44">
        <v>1111111</v>
      </c>
    </row>
    <row r="45" spans="1:5">
      <c r="B45">
        <f>BIN2DEC(B44)</f>
        <v>12</v>
      </c>
      <c r="C45">
        <f t="shared" ref="C45" si="39">BIN2DEC(C44)</f>
        <v>34</v>
      </c>
      <c r="D45">
        <f t="shared" ref="D45" si="40">BIN2DEC(D44)</f>
        <v>28</v>
      </c>
      <c r="E45">
        <f t="shared" ref="E45" si="41">BIN2DEC(E44)</f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Pablo Profe</dc:creator>
  <cp:keywords/>
  <dc:description/>
  <cp:lastModifiedBy>Luis Raul Martinez Madrigal</cp:lastModifiedBy>
  <cp:revision/>
  <dcterms:created xsi:type="dcterms:W3CDTF">2026-03-04T14:00:10Z</dcterms:created>
  <dcterms:modified xsi:type="dcterms:W3CDTF">2026-03-13T04:03:18Z</dcterms:modified>
  <cp:category/>
  <cp:contentStatus/>
</cp:coreProperties>
</file>