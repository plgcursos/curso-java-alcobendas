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Tardes\Desktop\"/>
    </mc:Choice>
  </mc:AlternateContent>
  <xr:revisionPtr revIDLastSave="0" documentId="13_ncr:1_{518E07A1-1537-4D4E-BBE0-1F693793E9CA}" xr6:coauthVersionLast="47" xr6:coauthVersionMax="47" xr10:uidLastSave="{00000000-0000-0000-0000-000000000000}"/>
  <bookViews>
    <workbookView xWindow="-90" yWindow="-90" windowWidth="19380" windowHeight="10260" xr2:uid="{E1423F1E-DA03-4BF6-A6E5-0F2D87F36E1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J19" i="1"/>
  <c r="K19" i="1"/>
  <c r="H19" i="1"/>
  <c r="I18" i="1"/>
  <c r="H18" i="1"/>
  <c r="K14" i="1"/>
  <c r="J14" i="1"/>
  <c r="J24" i="1"/>
  <c r="J22" i="1"/>
  <c r="J17" i="1"/>
  <c r="L12" i="1"/>
  <c r="J12" i="1"/>
  <c r="I9" i="1"/>
  <c r="I11" i="1" s="1"/>
  <c r="I12" i="1" s="1"/>
  <c r="J9" i="1"/>
  <c r="K9" i="1"/>
  <c r="K11" i="1" s="1"/>
  <c r="K12" i="1" s="1"/>
  <c r="H9" i="1"/>
  <c r="H11" i="1" s="1"/>
  <c r="H12" i="1" s="1"/>
  <c r="I27" i="1"/>
  <c r="J27" i="1"/>
  <c r="K27" i="1"/>
  <c r="H27" i="1"/>
  <c r="H3" i="1"/>
  <c r="H4" i="1"/>
  <c r="H5" i="1"/>
  <c r="H2" i="1"/>
  <c r="I1" i="1"/>
  <c r="H13" i="1" l="1"/>
  <c r="H14" i="1" s="1"/>
  <c r="I13" i="1"/>
  <c r="I14" i="1" s="1"/>
  <c r="K16" i="1"/>
  <c r="H16" i="1"/>
  <c r="I16" i="1"/>
  <c r="I21" i="1" l="1"/>
  <c r="I17" i="1"/>
  <c r="H21" i="1"/>
  <c r="H17" i="1"/>
  <c r="K21" i="1"/>
  <c r="K17" i="1"/>
  <c r="I22" i="1" l="1"/>
  <c r="I23" i="1"/>
  <c r="I24" i="1" s="1"/>
  <c r="K22" i="1"/>
  <c r="K23" i="1"/>
  <c r="K24" i="1" s="1"/>
  <c r="H23" i="1"/>
  <c r="H24" i="1" s="1"/>
  <c r="H22" i="1"/>
</calcChain>
</file>

<file path=xl/sharedStrings.xml><?xml version="1.0" encoding="utf-8"?>
<sst xmlns="http://schemas.openxmlformats.org/spreadsheetml/2006/main" count="66" uniqueCount="49">
  <si>
    <t>139.47.16.0/20</t>
  </si>
  <si>
    <t>2^12 = 4096</t>
  </si>
  <si>
    <t>0001</t>
  </si>
  <si>
    <t>0000</t>
  </si>
  <si>
    <t>00010000</t>
  </si>
  <si>
    <t>000100</t>
  </si>
  <si>
    <t>00</t>
  </si>
  <si>
    <t>00010100</t>
  </si>
  <si>
    <t>000101</t>
  </si>
  <si>
    <t>Dir. Subred</t>
  </si>
  <si>
    <t>Máscara</t>
  </si>
  <si>
    <t>Broadcast</t>
  </si>
  <si>
    <t>Rango Ips</t>
  </si>
  <si>
    <t>Cant.Dire.</t>
  </si>
  <si>
    <t>00011000</t>
  </si>
  <si>
    <t>000110</t>
  </si>
  <si>
    <t>RRHH</t>
  </si>
  <si>
    <t>139.47.16.0/22</t>
  </si>
  <si>
    <t>255.255.252.0</t>
  </si>
  <si>
    <t>139.47.19.255</t>
  </si>
  <si>
    <t>139.47.16.1 - 139.47.19.254</t>
  </si>
  <si>
    <t>2^10 = 1024</t>
  </si>
  <si>
    <t>00011100</t>
  </si>
  <si>
    <t>000111</t>
  </si>
  <si>
    <t>Administración</t>
  </si>
  <si>
    <t>139.47.20.0/22</t>
  </si>
  <si>
    <t>139.47.23.255</t>
  </si>
  <si>
    <t>139.47.20.1 - 139.47.23.254</t>
  </si>
  <si>
    <t>Ventas</t>
  </si>
  <si>
    <t>139.47.24.0/22</t>
  </si>
  <si>
    <t>139.47.27.255</t>
  </si>
  <si>
    <t>139.47.24.1 - 139.47.27.254</t>
  </si>
  <si>
    <t>Producción</t>
  </si>
  <si>
    <t>139.47.28.0/22</t>
  </si>
  <si>
    <t>139.47.31.255</t>
  </si>
  <si>
    <t>139.47.28.1 - 139.47.31.254</t>
  </si>
  <si>
    <t>RED.ORIGINAL</t>
  </si>
  <si>
    <t>/20</t>
  </si>
  <si>
    <t>/22</t>
  </si>
  <si>
    <t xml:space="preserve">     Broadcast</t>
  </si>
  <si>
    <t>00010011</t>
  </si>
  <si>
    <t>11111111</t>
  </si>
  <si>
    <t>ADM</t>
  </si>
  <si>
    <t>00010111</t>
  </si>
  <si>
    <t>VENTAS</t>
  </si>
  <si>
    <t>PROD.</t>
  </si>
  <si>
    <t>Máscar</t>
  </si>
  <si>
    <t>11111100</t>
  </si>
  <si>
    <t>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</si>
</sst>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quotePrefix="1" applyFont="1"/>
    <xf numFmtId="0" fontId="0" fillId="0" borderId="1" xfId="0" applyBorder="1"/>
    <xf numFmtId="0" fontId="0" fillId="0" borderId="0" xfId="0" applyBorder="1"/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8281</xdr:colOff>
      <xdr:row>8</xdr:row>
      <xdr:rowOff>11043</xdr:rowOff>
    </xdr:from>
    <xdr:to>
      <xdr:col>9</xdr:col>
      <xdr:colOff>295673</xdr:colOff>
      <xdr:row>8</xdr:row>
      <xdr:rowOff>176696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F9D44EF-FE7C-3BDE-C9D2-C727912A204A}"/>
            </a:ext>
          </a:extLst>
        </xdr:cNvPr>
        <xdr:cNvSpPr/>
      </xdr:nvSpPr>
      <xdr:spPr>
        <a:xfrm>
          <a:off x="6326531" y="1503293"/>
          <a:ext cx="1811392" cy="165653"/>
        </a:xfrm>
        <a:prstGeom prst="rect">
          <a:avLst/>
        </a:prstGeom>
        <a:solidFill>
          <a:schemeClr val="accent1"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3912</xdr:colOff>
      <xdr:row>12</xdr:row>
      <xdr:rowOff>16594</xdr:rowOff>
    </xdr:from>
    <xdr:to>
      <xdr:col>9</xdr:col>
      <xdr:colOff>295672</xdr:colOff>
      <xdr:row>12</xdr:row>
      <xdr:rowOff>182247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214C4DD-A63A-441A-A1D5-09A5AF520339}"/>
            </a:ext>
          </a:extLst>
        </xdr:cNvPr>
        <xdr:cNvSpPr/>
      </xdr:nvSpPr>
      <xdr:spPr>
        <a:xfrm>
          <a:off x="6322162" y="2254969"/>
          <a:ext cx="1815760" cy="165653"/>
        </a:xfrm>
        <a:prstGeom prst="rect">
          <a:avLst/>
        </a:prstGeom>
        <a:solidFill>
          <a:schemeClr val="accent1"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289265</xdr:colOff>
      <xdr:row>12</xdr:row>
      <xdr:rowOff>18182</xdr:rowOff>
    </xdr:from>
    <xdr:to>
      <xdr:col>9</xdr:col>
      <xdr:colOff>434578</xdr:colOff>
      <xdr:row>12</xdr:row>
      <xdr:rowOff>183835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88421E0B-C62B-4049-BC48-28D9028E0ACF}"/>
            </a:ext>
          </a:extLst>
        </xdr:cNvPr>
        <xdr:cNvSpPr/>
      </xdr:nvSpPr>
      <xdr:spPr>
        <a:xfrm>
          <a:off x="8131515" y="2256557"/>
          <a:ext cx="145313" cy="165653"/>
        </a:xfrm>
        <a:prstGeom prst="rect">
          <a:avLst/>
        </a:prstGeom>
        <a:solidFill>
          <a:schemeClr val="accent3">
            <a:lumMod val="40000"/>
            <a:lumOff val="60000"/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904418</xdr:colOff>
      <xdr:row>15</xdr:row>
      <xdr:rowOff>12228</xdr:rowOff>
    </xdr:from>
    <xdr:to>
      <xdr:col>9</xdr:col>
      <xdr:colOff>291303</xdr:colOff>
      <xdr:row>15</xdr:row>
      <xdr:rowOff>177881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B9987919-8ECA-4767-BE05-9978069AF94C}"/>
            </a:ext>
          </a:extLst>
        </xdr:cNvPr>
        <xdr:cNvSpPr/>
      </xdr:nvSpPr>
      <xdr:spPr>
        <a:xfrm>
          <a:off x="6317793" y="2250603"/>
          <a:ext cx="1815760" cy="165653"/>
        </a:xfrm>
        <a:prstGeom prst="rect">
          <a:avLst/>
        </a:prstGeom>
        <a:solidFill>
          <a:schemeClr val="accent1"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284896</xdr:colOff>
      <xdr:row>15</xdr:row>
      <xdr:rowOff>13816</xdr:rowOff>
    </xdr:from>
    <xdr:to>
      <xdr:col>9</xdr:col>
      <xdr:colOff>430209</xdr:colOff>
      <xdr:row>15</xdr:row>
      <xdr:rowOff>179469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154D4D5-8A42-4E22-80F0-FEF9C794662C}"/>
            </a:ext>
          </a:extLst>
        </xdr:cNvPr>
        <xdr:cNvSpPr/>
      </xdr:nvSpPr>
      <xdr:spPr>
        <a:xfrm>
          <a:off x="8127146" y="2252191"/>
          <a:ext cx="145313" cy="165653"/>
        </a:xfrm>
        <a:prstGeom prst="rect">
          <a:avLst/>
        </a:prstGeom>
        <a:solidFill>
          <a:schemeClr val="accent3">
            <a:lumMod val="40000"/>
            <a:lumOff val="60000"/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904418</xdr:colOff>
      <xdr:row>20</xdr:row>
      <xdr:rowOff>12228</xdr:rowOff>
    </xdr:from>
    <xdr:to>
      <xdr:col>9</xdr:col>
      <xdr:colOff>291303</xdr:colOff>
      <xdr:row>20</xdr:row>
      <xdr:rowOff>177881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4A476CB-3E65-494B-9901-9E50EBB8EF15}"/>
            </a:ext>
          </a:extLst>
        </xdr:cNvPr>
        <xdr:cNvSpPr/>
      </xdr:nvSpPr>
      <xdr:spPr>
        <a:xfrm>
          <a:off x="6317793" y="2250603"/>
          <a:ext cx="1815760" cy="165653"/>
        </a:xfrm>
        <a:prstGeom prst="rect">
          <a:avLst/>
        </a:prstGeom>
        <a:solidFill>
          <a:schemeClr val="accent1"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284896</xdr:colOff>
      <xdr:row>20</xdr:row>
      <xdr:rowOff>13816</xdr:rowOff>
    </xdr:from>
    <xdr:to>
      <xdr:col>9</xdr:col>
      <xdr:colOff>430209</xdr:colOff>
      <xdr:row>20</xdr:row>
      <xdr:rowOff>179469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37A2B00-4552-4D35-9C42-27BC969D8BC5}"/>
            </a:ext>
          </a:extLst>
        </xdr:cNvPr>
        <xdr:cNvSpPr/>
      </xdr:nvSpPr>
      <xdr:spPr>
        <a:xfrm>
          <a:off x="8127146" y="2252191"/>
          <a:ext cx="145313" cy="165653"/>
        </a:xfrm>
        <a:prstGeom prst="rect">
          <a:avLst/>
        </a:prstGeom>
        <a:solidFill>
          <a:schemeClr val="accent3">
            <a:lumMod val="40000"/>
            <a:lumOff val="60000"/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904418</xdr:colOff>
      <xdr:row>22</xdr:row>
      <xdr:rowOff>12228</xdr:rowOff>
    </xdr:from>
    <xdr:to>
      <xdr:col>9</xdr:col>
      <xdr:colOff>291303</xdr:colOff>
      <xdr:row>22</xdr:row>
      <xdr:rowOff>177881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8C517F1-EC12-4FB4-8A7D-F1EE47C93BDD}"/>
            </a:ext>
          </a:extLst>
        </xdr:cNvPr>
        <xdr:cNvSpPr/>
      </xdr:nvSpPr>
      <xdr:spPr>
        <a:xfrm>
          <a:off x="6317793" y="2623666"/>
          <a:ext cx="1815760" cy="165653"/>
        </a:xfrm>
        <a:prstGeom prst="rect">
          <a:avLst/>
        </a:prstGeom>
        <a:solidFill>
          <a:schemeClr val="accent1"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284896</xdr:colOff>
      <xdr:row>22</xdr:row>
      <xdr:rowOff>13816</xdr:rowOff>
    </xdr:from>
    <xdr:to>
      <xdr:col>9</xdr:col>
      <xdr:colOff>430209</xdr:colOff>
      <xdr:row>22</xdr:row>
      <xdr:rowOff>179469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22AE479F-E1C3-44AD-B1E8-03A7AA2B43A7}"/>
            </a:ext>
          </a:extLst>
        </xdr:cNvPr>
        <xdr:cNvSpPr/>
      </xdr:nvSpPr>
      <xdr:spPr>
        <a:xfrm>
          <a:off x="8127146" y="2625254"/>
          <a:ext cx="145313" cy="165653"/>
        </a:xfrm>
        <a:prstGeom prst="rect">
          <a:avLst/>
        </a:prstGeom>
        <a:solidFill>
          <a:schemeClr val="accent3">
            <a:lumMod val="40000"/>
            <a:lumOff val="60000"/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7084</xdr:colOff>
      <xdr:row>25</xdr:row>
      <xdr:rowOff>19775</xdr:rowOff>
    </xdr:from>
    <xdr:to>
      <xdr:col>9</xdr:col>
      <xdr:colOff>298844</xdr:colOff>
      <xdr:row>25</xdr:row>
      <xdr:rowOff>185428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21FB61F-503F-43B1-AFD2-7A05A9EE302E}"/>
            </a:ext>
          </a:extLst>
        </xdr:cNvPr>
        <xdr:cNvSpPr/>
      </xdr:nvSpPr>
      <xdr:spPr>
        <a:xfrm>
          <a:off x="6325334" y="3563869"/>
          <a:ext cx="1815760" cy="165653"/>
        </a:xfrm>
        <a:prstGeom prst="rect">
          <a:avLst/>
        </a:prstGeom>
        <a:solidFill>
          <a:schemeClr val="accent1"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292437</xdr:colOff>
      <xdr:row>25</xdr:row>
      <xdr:rowOff>21363</xdr:rowOff>
    </xdr:from>
    <xdr:to>
      <xdr:col>9</xdr:col>
      <xdr:colOff>437750</xdr:colOff>
      <xdr:row>26</xdr:row>
      <xdr:rowOff>485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BC604A15-170F-41F0-8D91-7A387A94B2FB}"/>
            </a:ext>
          </a:extLst>
        </xdr:cNvPr>
        <xdr:cNvSpPr/>
      </xdr:nvSpPr>
      <xdr:spPr>
        <a:xfrm>
          <a:off x="8134687" y="3565457"/>
          <a:ext cx="145313" cy="165653"/>
        </a:xfrm>
        <a:prstGeom prst="rect">
          <a:avLst/>
        </a:prstGeom>
        <a:solidFill>
          <a:schemeClr val="accent3">
            <a:lumMod val="40000"/>
            <a:lumOff val="60000"/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13834</xdr:colOff>
      <xdr:row>10</xdr:row>
      <xdr:rowOff>20562</xdr:rowOff>
    </xdr:from>
    <xdr:to>
      <xdr:col>9</xdr:col>
      <xdr:colOff>305594</xdr:colOff>
      <xdr:row>10</xdr:row>
      <xdr:rowOff>186215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3A4EB0D3-C39A-483D-8C98-E0CDEC0CA09E}"/>
            </a:ext>
          </a:extLst>
        </xdr:cNvPr>
        <xdr:cNvSpPr/>
      </xdr:nvSpPr>
      <xdr:spPr>
        <a:xfrm>
          <a:off x="7183381" y="1885875"/>
          <a:ext cx="1815760" cy="165653"/>
        </a:xfrm>
        <a:prstGeom prst="rect">
          <a:avLst/>
        </a:prstGeom>
        <a:solidFill>
          <a:schemeClr val="accent1"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299187</xdr:colOff>
      <xdr:row>10</xdr:row>
      <xdr:rowOff>22150</xdr:rowOff>
    </xdr:from>
    <xdr:to>
      <xdr:col>9</xdr:col>
      <xdr:colOff>444500</xdr:colOff>
      <xdr:row>11</xdr:row>
      <xdr:rowOff>1272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EDD3FFE-79C6-4154-ABCD-D5951C8E1922}"/>
            </a:ext>
          </a:extLst>
        </xdr:cNvPr>
        <xdr:cNvSpPr/>
      </xdr:nvSpPr>
      <xdr:spPr>
        <a:xfrm>
          <a:off x="8992734" y="1887463"/>
          <a:ext cx="145313" cy="165653"/>
        </a:xfrm>
        <a:prstGeom prst="rect">
          <a:avLst/>
        </a:prstGeom>
        <a:solidFill>
          <a:schemeClr val="accent3">
            <a:lumMod val="40000"/>
            <a:lumOff val="60000"/>
            <a:alpha val="1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C498-9889-44AE-8D99-F03F124E179B}">
  <dimension ref="A1:L27"/>
  <sheetViews>
    <sheetView tabSelected="1" zoomScale="160" zoomScaleNormal="160" workbookViewId="0">
      <selection activeCell="F5" sqref="F5"/>
    </sheetView>
  </sheetViews>
  <sheetFormatPr defaultColWidth="11.42578125" defaultRowHeight="14.85"/>
  <cols>
    <col min="1" max="1" width="16.5703125" customWidth="1"/>
    <col min="2" max="2" width="13.7109375" customWidth="1"/>
    <col min="3" max="3" width="12.42578125" bestFit="1" customWidth="1"/>
    <col min="4" max="4" width="12.85546875" customWidth="1"/>
    <col min="5" max="5" width="23.140625" bestFit="1" customWidth="1"/>
    <col min="7" max="7" width="13" bestFit="1" customWidth="1"/>
    <col min="11" max="12" width="8.5703125" customWidth="1"/>
  </cols>
  <sheetData>
    <row r="1" spans="1:12">
      <c r="A1" s="1" t="s">
        <v>0</v>
      </c>
      <c r="B1" t="s">
        <v>1</v>
      </c>
      <c r="H1" s="1">
        <v>16</v>
      </c>
      <c r="I1" s="1" t="str">
        <f>DEC2BIN(H1,8)</f>
        <v>00010000</v>
      </c>
      <c r="J1" s="1"/>
      <c r="K1" s="3" t="s">
        <v>2</v>
      </c>
      <c r="L1" s="3" t="s">
        <v>3</v>
      </c>
    </row>
    <row r="2" spans="1:12">
      <c r="H2">
        <f>BIN2DEC(I2)</f>
        <v>16</v>
      </c>
      <c r="I2" s="2" t="s">
        <v>4</v>
      </c>
      <c r="K2" s="2" t="s">
        <v>5</v>
      </c>
      <c r="L2" s="2" t="s">
        <v>6</v>
      </c>
    </row>
    <row r="3" spans="1:12">
      <c r="H3">
        <f t="shared" ref="H3:H5" si="0">BIN2DEC(I3)</f>
        <v>20</v>
      </c>
      <c r="I3" s="2" t="s">
        <v>7</v>
      </c>
      <c r="K3" s="2" t="s">
        <v>8</v>
      </c>
      <c r="L3" s="2" t="s">
        <v>6</v>
      </c>
    </row>
    <row r="4" spans="1:12"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H4">
        <f t="shared" si="0"/>
        <v>24</v>
      </c>
      <c r="I4" s="2" t="s">
        <v>14</v>
      </c>
      <c r="K4" s="2" t="s">
        <v>15</v>
      </c>
      <c r="L4" s="2" t="s">
        <v>6</v>
      </c>
    </row>
    <row r="5" spans="1:12">
      <c r="A5" s="1" t="s">
        <v>16</v>
      </c>
      <c r="B5" t="s">
        <v>17</v>
      </c>
      <c r="C5" t="s">
        <v>18</v>
      </c>
      <c r="D5" t="s">
        <v>19</v>
      </c>
      <c r="E5" t="s">
        <v>20</v>
      </c>
      <c r="F5" s="2" t="s">
        <v>21</v>
      </c>
      <c r="H5">
        <f t="shared" si="0"/>
        <v>28</v>
      </c>
      <c r="I5" s="2" t="s">
        <v>22</v>
      </c>
      <c r="K5" s="2" t="s">
        <v>23</v>
      </c>
      <c r="L5" s="2" t="s">
        <v>6</v>
      </c>
    </row>
    <row r="6" spans="1:12">
      <c r="A6" s="1" t="s">
        <v>24</v>
      </c>
      <c r="B6" t="s">
        <v>25</v>
      </c>
      <c r="C6" t="s">
        <v>18</v>
      </c>
      <c r="D6" t="s">
        <v>26</v>
      </c>
      <c r="E6" t="s">
        <v>27</v>
      </c>
      <c r="F6" s="2" t="s">
        <v>21</v>
      </c>
    </row>
    <row r="7" spans="1:12">
      <c r="A7" s="1" t="s">
        <v>28</v>
      </c>
      <c r="B7" t="s">
        <v>29</v>
      </c>
      <c r="C7" t="s">
        <v>18</v>
      </c>
      <c r="D7" t="s">
        <v>30</v>
      </c>
      <c r="E7" t="s">
        <v>31</v>
      </c>
      <c r="F7" s="2" t="s">
        <v>21</v>
      </c>
    </row>
    <row r="8" spans="1:12">
      <c r="A8" s="1" t="s">
        <v>32</v>
      </c>
      <c r="B8" t="s">
        <v>33</v>
      </c>
      <c r="C8" t="s">
        <v>18</v>
      </c>
      <c r="D8" t="s">
        <v>34</v>
      </c>
      <c r="E8" t="s">
        <v>35</v>
      </c>
      <c r="F8" s="2" t="s">
        <v>21</v>
      </c>
      <c r="G8" t="s">
        <v>36</v>
      </c>
      <c r="H8">
        <v>139</v>
      </c>
      <c r="I8">
        <v>47</v>
      </c>
      <c r="J8" s="2">
        <v>16</v>
      </c>
      <c r="K8">
        <v>0</v>
      </c>
      <c r="L8" s="2" t="s">
        <v>37</v>
      </c>
    </row>
    <row r="9" spans="1:12">
      <c r="H9" t="str">
        <f>DEC2BIN(H8,8)</f>
        <v>10001011</v>
      </c>
      <c r="I9" t="str">
        <f t="shared" ref="I9:K9" si="1">DEC2BIN(I8,8)</f>
        <v>00101111</v>
      </c>
      <c r="J9" t="str">
        <f t="shared" si="1"/>
        <v>00010000</v>
      </c>
      <c r="K9" t="str">
        <f t="shared" si="1"/>
        <v>00000000</v>
      </c>
    </row>
    <row r="11" spans="1:12">
      <c r="G11" t="s">
        <v>16</v>
      </c>
      <c r="H11" t="str">
        <f>H9</f>
        <v>10001011</v>
      </c>
      <c r="I11" t="str">
        <f>I9</f>
        <v>00101111</v>
      </c>
      <c r="J11" s="2" t="s">
        <v>4</v>
      </c>
      <c r="K11" t="str">
        <f>K9</f>
        <v>00000000</v>
      </c>
      <c r="L11" s="2" t="s">
        <v>38</v>
      </c>
    </row>
    <row r="12" spans="1:12">
      <c r="E12" s="2"/>
      <c r="G12" s="4"/>
      <c r="H12" s="4">
        <f>BIN2DEC(H11)</f>
        <v>139</v>
      </c>
      <c r="I12" s="4">
        <f t="shared" ref="I12:K12" si="2">BIN2DEC(I11)</f>
        <v>47</v>
      </c>
      <c r="J12" s="4">
        <f t="shared" si="2"/>
        <v>16</v>
      </c>
      <c r="K12" s="4">
        <f t="shared" si="2"/>
        <v>0</v>
      </c>
      <c r="L12" s="4" t="str">
        <f>L11</f>
        <v>/22</v>
      </c>
    </row>
    <row r="13" spans="1:12">
      <c r="E13" s="2"/>
      <c r="G13" s="5" t="s">
        <v>39</v>
      </c>
      <c r="H13" s="5" t="str">
        <f>H11</f>
        <v>10001011</v>
      </c>
      <c r="I13" s="5" t="str">
        <f t="shared" ref="I13" si="3">I11</f>
        <v>00101111</v>
      </c>
      <c r="J13" s="6" t="s">
        <v>40</v>
      </c>
      <c r="K13" s="6" t="s">
        <v>41</v>
      </c>
      <c r="L13" s="5"/>
    </row>
    <row r="14" spans="1:12">
      <c r="E14" s="2"/>
      <c r="G14" s="5"/>
      <c r="H14" s="4">
        <f>BIN2DEC(H13)</f>
        <v>139</v>
      </c>
      <c r="I14" s="4">
        <f t="shared" ref="I14:J14" si="4">BIN2DEC(I13)</f>
        <v>47</v>
      </c>
      <c r="J14" s="4">
        <f t="shared" si="4"/>
        <v>19</v>
      </c>
      <c r="K14" s="4">
        <f>BIN2DEC(K13)</f>
        <v>255</v>
      </c>
      <c r="L14" s="5"/>
    </row>
    <row r="15" spans="1:12">
      <c r="E15" s="2"/>
      <c r="G15" s="5"/>
      <c r="H15" s="5"/>
      <c r="I15" s="5"/>
      <c r="J15" s="5"/>
      <c r="K15" s="5"/>
      <c r="L15" s="5"/>
    </row>
    <row r="16" spans="1:12">
      <c r="E16" s="2"/>
      <c r="G16" t="s">
        <v>42</v>
      </c>
      <c r="H16" t="str">
        <f>H11</f>
        <v>10001011</v>
      </c>
      <c r="I16" t="str">
        <f>I11</f>
        <v>00101111</v>
      </c>
      <c r="J16" s="2" t="s">
        <v>7</v>
      </c>
      <c r="K16" t="str">
        <f>K11</f>
        <v>00000000</v>
      </c>
    </row>
    <row r="17" spans="5:11">
      <c r="E17" s="2"/>
      <c r="H17" s="4">
        <f>BIN2DEC(H16)</f>
        <v>139</v>
      </c>
      <c r="I17" s="4">
        <f t="shared" ref="I17:K17" si="5">BIN2DEC(I16)</f>
        <v>47</v>
      </c>
      <c r="J17" s="4">
        <f t="shared" si="5"/>
        <v>20</v>
      </c>
      <c r="K17" s="4">
        <f t="shared" si="5"/>
        <v>0</v>
      </c>
    </row>
    <row r="18" spans="5:11">
      <c r="E18" s="2"/>
      <c r="G18" s="5" t="s">
        <v>39</v>
      </c>
      <c r="H18" s="5" t="str">
        <f>H16</f>
        <v>10001011</v>
      </c>
      <c r="I18" s="5" t="str">
        <f>I16</f>
        <v>00101111</v>
      </c>
      <c r="J18" s="6" t="s">
        <v>43</v>
      </c>
      <c r="K18" s="5">
        <v>11111111</v>
      </c>
    </row>
    <row r="19" spans="5:11">
      <c r="E19" s="2"/>
      <c r="H19" s="4">
        <f>BIN2DEC(H18)</f>
        <v>139</v>
      </c>
      <c r="I19" s="4">
        <f t="shared" ref="I19:K19" si="6">BIN2DEC(I18)</f>
        <v>47</v>
      </c>
      <c r="J19" s="4">
        <f t="shared" si="6"/>
        <v>23</v>
      </c>
      <c r="K19" s="4">
        <f t="shared" si="6"/>
        <v>255</v>
      </c>
    </row>
    <row r="20" spans="5:11">
      <c r="H20" s="5"/>
      <c r="I20" s="5"/>
      <c r="J20" s="5"/>
      <c r="K20" s="5"/>
    </row>
    <row r="21" spans="5:11">
      <c r="G21" t="s">
        <v>44</v>
      </c>
      <c r="H21" t="str">
        <f>H16</f>
        <v>10001011</v>
      </c>
      <c r="I21" t="str">
        <f t="shared" ref="I21:K21" si="7">I16</f>
        <v>00101111</v>
      </c>
      <c r="J21" s="2" t="s">
        <v>14</v>
      </c>
      <c r="K21" t="str">
        <f>K16</f>
        <v>00000000</v>
      </c>
    </row>
    <row r="22" spans="5:11">
      <c r="H22" s="4">
        <f>BIN2DEC(H21)</f>
        <v>139</v>
      </c>
      <c r="I22" s="4">
        <f t="shared" ref="I22" si="8">BIN2DEC(I21)</f>
        <v>47</v>
      </c>
      <c r="J22" s="4">
        <f t="shared" ref="J22" si="9">BIN2DEC(J21)</f>
        <v>24</v>
      </c>
      <c r="K22" s="4">
        <f t="shared" ref="K22" si="10">BIN2DEC(K21)</f>
        <v>0</v>
      </c>
    </row>
    <row r="23" spans="5:11">
      <c r="G23" t="s">
        <v>45</v>
      </c>
      <c r="H23" t="str">
        <f>H21</f>
        <v>10001011</v>
      </c>
      <c r="I23" t="str">
        <f t="shared" ref="I23:K23" si="11">I21</f>
        <v>00101111</v>
      </c>
      <c r="J23" s="2" t="s">
        <v>22</v>
      </c>
      <c r="K23" t="str">
        <f t="shared" ref="K23" si="12">K21</f>
        <v>00000000</v>
      </c>
    </row>
    <row r="24" spans="5:11">
      <c r="H24" s="4">
        <f>BIN2DEC(H23)</f>
        <v>139</v>
      </c>
      <c r="I24" s="4">
        <f t="shared" ref="I24" si="13">BIN2DEC(I23)</f>
        <v>47</v>
      </c>
      <c r="J24" s="4">
        <f t="shared" ref="J24" si="14">BIN2DEC(J23)</f>
        <v>28</v>
      </c>
      <c r="K24" s="4">
        <f t="shared" ref="K24" si="15">BIN2DEC(K23)</f>
        <v>0</v>
      </c>
    </row>
    <row r="26" spans="5:11">
      <c r="G26" t="s">
        <v>46</v>
      </c>
      <c r="H26" s="2" t="s">
        <v>41</v>
      </c>
      <c r="I26" s="2" t="s">
        <v>41</v>
      </c>
      <c r="J26" s="2" t="s">
        <v>47</v>
      </c>
      <c r="K26" s="2" t="s">
        <v>48</v>
      </c>
    </row>
    <row r="27" spans="5:11">
      <c r="H27">
        <f>BIN2DEC(H26)</f>
        <v>255</v>
      </c>
      <c r="I27">
        <f t="shared" ref="I27:K27" si="16">BIN2DEC(I26)</f>
        <v>255</v>
      </c>
      <c r="J27">
        <f t="shared" si="16"/>
        <v>252</v>
      </c>
      <c r="K27">
        <f t="shared" si="16"/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Profe</dc:creator>
  <cp:keywords/>
  <dc:description/>
  <cp:lastModifiedBy>Luis Raul Martinez Madrigal</cp:lastModifiedBy>
  <cp:revision/>
  <dcterms:created xsi:type="dcterms:W3CDTF">2026-03-03T15:02:57Z</dcterms:created>
  <dcterms:modified xsi:type="dcterms:W3CDTF">2026-03-13T04:03:04Z</dcterms:modified>
  <cp:category/>
  <cp:contentStatus/>
</cp:coreProperties>
</file>